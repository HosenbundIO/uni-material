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ivanov/Documents/uni-material/uni_2_semester/finanzwirtschaft/tuto_aufgaben/"/>
    </mc:Choice>
  </mc:AlternateContent>
  <xr:revisionPtr revIDLastSave="0" documentId="13_ncr:1_{1623A5BC-EBFD-6944-B12C-6423BAF23DDC}" xr6:coauthVersionLast="47" xr6:coauthVersionMax="47" xr10:uidLastSave="{00000000-0000-0000-0000-000000000000}"/>
  <bookViews>
    <workbookView xWindow="0" yWindow="0" windowWidth="33600" windowHeight="21000" xr2:uid="{49BF4CCC-841D-B24B-BA2C-DBFCFE32577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N5" i="1"/>
  <c r="M5" i="1"/>
  <c r="M4" i="1"/>
  <c r="O4" i="1"/>
  <c r="N4" i="1"/>
  <c r="L4" i="1" a="1"/>
  <c r="L4" i="1" s="1"/>
  <c r="I4" i="1"/>
  <c r="J4" i="1" s="1"/>
  <c r="H4" i="1" s="1"/>
  <c r="G4" i="1" a="1"/>
  <c r="G4" i="1" s="1"/>
  <c r="D4" i="1"/>
  <c r="E4" i="1" s="1"/>
  <c r="D5" i="1" s="1"/>
  <c r="E5" i="1" s="1"/>
  <c r="A3" i="1" a="1"/>
  <c r="A3" i="1" s="1"/>
  <c r="N6" i="1" l="1"/>
  <c r="O6" i="1" s="1"/>
  <c r="M6" i="1" s="1"/>
  <c r="I5" i="1"/>
  <c r="J5" i="1" s="1"/>
  <c r="H5" i="1"/>
  <c r="I6" i="1"/>
  <c r="J6" i="1" s="1"/>
  <c r="H6" i="1" s="1"/>
  <c r="D6" i="1"/>
  <c r="E6" i="1" s="1"/>
  <c r="N7" i="1" l="1"/>
  <c r="O7" i="1" s="1"/>
  <c r="M7" i="1" s="1"/>
  <c r="I7" i="1"/>
  <c r="J7" i="1" s="1"/>
  <c r="H7" i="1" s="1"/>
  <c r="D7" i="1"/>
  <c r="E7" i="1" s="1"/>
  <c r="N8" i="1" l="1"/>
  <c r="O8" i="1" s="1"/>
  <c r="M8" i="1" s="1"/>
  <c r="I8" i="1"/>
  <c r="J8" i="1" s="1"/>
  <c r="H8" i="1" s="1"/>
  <c r="D8" i="1"/>
  <c r="E8" i="1" s="1"/>
  <c r="N9" i="1" l="1"/>
  <c r="O9" i="1" s="1"/>
  <c r="M9" i="1" s="1"/>
  <c r="I9" i="1"/>
  <c r="J9" i="1" s="1"/>
  <c r="H9" i="1" s="1"/>
  <c r="D9" i="1"/>
  <c r="E9" i="1" s="1"/>
  <c r="N10" i="1" l="1"/>
  <c r="O10" i="1" s="1"/>
  <c r="M10" i="1" s="1"/>
  <c r="I10" i="1"/>
  <c r="J10" i="1" s="1"/>
  <c r="H10" i="1" s="1"/>
  <c r="D10" i="1"/>
  <c r="E10" i="1" s="1"/>
  <c r="N11" i="1" l="1"/>
  <c r="O11" i="1" s="1"/>
  <c r="M11" i="1" s="1"/>
  <c r="I11" i="1"/>
  <c r="J11" i="1" s="1"/>
  <c r="H11" i="1" s="1"/>
  <c r="D11" i="1"/>
  <c r="E11" i="1" s="1"/>
  <c r="N12" i="1" l="1"/>
  <c r="O12" i="1" s="1"/>
  <c r="M12" i="1" s="1"/>
  <c r="I12" i="1"/>
  <c r="J12" i="1" s="1"/>
  <c r="H12" i="1" s="1"/>
  <c r="D12" i="1"/>
  <c r="E12" i="1" s="1"/>
  <c r="N13" i="1" l="1"/>
  <c r="O13" i="1" s="1"/>
  <c r="M13" i="1" s="1"/>
  <c r="I13" i="1"/>
  <c r="J13" i="1" s="1"/>
  <c r="H13" i="1" s="1"/>
  <c r="D13" i="1"/>
  <c r="E13" i="1" s="1"/>
  <c r="N14" i="1" l="1"/>
  <c r="O14" i="1" s="1"/>
  <c r="M14" i="1" s="1"/>
  <c r="I14" i="1"/>
  <c r="J14" i="1" s="1"/>
  <c r="H14" i="1" s="1"/>
  <c r="D14" i="1"/>
  <c r="E14" i="1" s="1"/>
  <c r="N15" i="1" l="1"/>
  <c r="O15" i="1" s="1"/>
  <c r="M15" i="1" s="1"/>
  <c r="I15" i="1"/>
  <c r="J15" i="1" s="1"/>
  <c r="H15" i="1" s="1"/>
  <c r="D15" i="1"/>
  <c r="E15" i="1" s="1"/>
  <c r="N16" i="1" l="1"/>
  <c r="O16" i="1" s="1"/>
  <c r="M16" i="1" s="1"/>
  <c r="D16" i="1"/>
  <c r="E16" i="1" s="1"/>
  <c r="N17" i="1" l="1"/>
  <c r="O17" i="1" s="1"/>
  <c r="M17" i="1" s="1"/>
  <c r="D17" i="1"/>
  <c r="E17" i="1" s="1"/>
  <c r="N18" i="1" l="1"/>
  <c r="O18" i="1" s="1"/>
  <c r="M18" i="1" s="1"/>
  <c r="D18" i="1"/>
  <c r="E18" i="1" s="1"/>
  <c r="N19" i="1" l="1"/>
  <c r="O19" i="1" s="1"/>
  <c r="M19" i="1" s="1"/>
  <c r="D19" i="1"/>
  <c r="E19" i="1" s="1"/>
  <c r="N20" i="1" l="1"/>
  <c r="O20" i="1" s="1"/>
  <c r="M20" i="1" s="1"/>
  <c r="D20" i="1"/>
  <c r="E20" i="1" s="1"/>
  <c r="N21" i="1" l="1"/>
  <c r="O21" i="1" s="1"/>
  <c r="M21" i="1" s="1"/>
  <c r="D21" i="1"/>
  <c r="E21" i="1" s="1"/>
  <c r="N22" i="1" l="1"/>
  <c r="O22" i="1" s="1"/>
  <c r="M22" i="1" s="1"/>
  <c r="D22" i="1"/>
  <c r="E22" i="1" s="1"/>
  <c r="N23" i="1" l="1"/>
  <c r="O23" i="1" s="1"/>
  <c r="M23" i="1" s="1"/>
  <c r="N24" i="1" l="1"/>
  <c r="O24" i="1" s="1"/>
  <c r="M24" i="1" s="1"/>
  <c r="N25" i="1" l="1"/>
  <c r="O25" i="1" s="1"/>
  <c r="M25" i="1" s="1"/>
  <c r="N26" i="1" l="1"/>
  <c r="O26" i="1" s="1"/>
  <c r="M26" i="1" s="1"/>
  <c r="N27" i="1" l="1"/>
  <c r="O27" i="1" s="1"/>
  <c r="M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<sst xmlns="http://schemas.openxmlformats.org/spreadsheetml/2006/main" count="36" uniqueCount="35">
  <si>
    <t>Periode</t>
  </si>
  <si>
    <t>Datum</t>
  </si>
  <si>
    <t>Einzahlung</t>
  </si>
  <si>
    <t>Zinsgutschrift</t>
  </si>
  <si>
    <t>Guthaben</t>
  </si>
  <si>
    <t>31.12.2024</t>
  </si>
  <si>
    <t>31.12.2025</t>
  </si>
  <si>
    <t>31.12.2026</t>
  </si>
  <si>
    <t>31.12.2027</t>
  </si>
  <si>
    <t>31.12.2028</t>
  </si>
  <si>
    <t>31.12.2029</t>
  </si>
  <si>
    <t>31.12.2030</t>
  </si>
  <si>
    <t>31.12.2031</t>
  </si>
  <si>
    <t>31.12.2032</t>
  </si>
  <si>
    <t>31.12.2033</t>
  </si>
  <si>
    <t>31.12.2034</t>
  </si>
  <si>
    <t>31.12.2035</t>
  </si>
  <si>
    <t>31.12.2036</t>
  </si>
  <si>
    <t>31.12.2037</t>
  </si>
  <si>
    <t>31.12.2038</t>
  </si>
  <si>
    <t>31.12.2039</t>
  </si>
  <si>
    <t>31.12.2040</t>
  </si>
  <si>
    <t>31.12.2041</t>
  </si>
  <si>
    <t>31.12.2042</t>
  </si>
  <si>
    <t>31.12.2043</t>
  </si>
  <si>
    <t>Zinssatz: 4,00 %</t>
  </si>
  <si>
    <t>Monat</t>
  </si>
  <si>
    <t>Restdarlehen</t>
  </si>
  <si>
    <t>Zinsanteil</t>
  </si>
  <si>
    <t>Tilgungsanteil</t>
  </si>
  <si>
    <t>Zinsasatz: 6,00 %.      Rate: 1800 Euro        Laufzeit: 360 Monate</t>
  </si>
  <si>
    <t>Kreditbetrag</t>
  </si>
  <si>
    <t>Zinsen</t>
  </si>
  <si>
    <t>Zinssatz: 7.65 % p.a. -&gt; 0.006354167 pro Monat</t>
  </si>
  <si>
    <t>Tilgung = (Rate-Zinsen)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</si>
</sst>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7]_-;\-* #,##0.00\ [$€-407]_-;_-* &quot;-&quot;??\ [$€-407]_-;_-@_-"/>
    <numFmt numFmtId="165" formatCode="0.00_ ;\-0.00\ "/>
    <numFmt numFmtId="166" formatCode="#,##0.00\ [$€-407]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165" fontId="0" fillId="0" borderId="0" xfId="0" applyNumberFormat="1"/>
    <xf numFmtId="164" fontId="0" fillId="0" borderId="0" xfId="0" applyNumberFormat="1"/>
    <xf numFmtId="166" fontId="0" fillId="0" borderId="2" xfId="1" applyNumberFormat="1" applyFont="1" applyBorder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165" fontId="0" fillId="0" borderId="4" xfId="0" applyNumberFormat="1" applyBorder="1"/>
    <xf numFmtId="164" fontId="0" fillId="0" borderId="4" xfId="0" applyNumberFormat="1" applyBorder="1"/>
    <xf numFmtId="166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2" xfId="0" applyNumberFormat="1" applyBorder="1"/>
    <xf numFmtId="164" fontId="0" fillId="0" borderId="5" xfId="0" applyNumberFormat="1" applyBorder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2" xfId="0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038F-CAF6-6348-8F4E-A211BC6BDBE4}">
  <dimension ref="A1:O27"/>
  <sheetViews>
    <sheetView tabSelected="1" workbookViewId="0">
      <selection activeCell="G20" sqref="G20"/>
    </sheetView>
  </sheetViews>
  <sheetFormatPr baseColWidth="10" defaultRowHeight="16" x14ac:dyDescent="0.2"/>
  <cols>
    <col min="1" max="1" width="9.1640625" customWidth="1"/>
    <col min="2" max="2" width="11.6640625" customWidth="1"/>
    <col min="3" max="3" width="14.33203125" customWidth="1"/>
    <col min="4" max="4" width="15.6640625" customWidth="1"/>
    <col min="5" max="5" width="18" customWidth="1"/>
    <col min="7" max="7" width="9.6640625" customWidth="1"/>
    <col min="8" max="8" width="14.6640625" customWidth="1"/>
    <col min="9" max="9" width="12.33203125" customWidth="1"/>
    <col min="10" max="10" width="17.33203125" customWidth="1"/>
    <col min="13" max="13" width="17.6640625" customWidth="1"/>
    <col min="15" max="15" width="21.5" customWidth="1"/>
  </cols>
  <sheetData>
    <row r="1" spans="1:15" ht="17" thickBot="1" x14ac:dyDescent="0.25">
      <c r="A1" s="11" t="s">
        <v>25</v>
      </c>
      <c r="B1" s="12"/>
      <c r="C1" s="12"/>
      <c r="D1" s="12"/>
      <c r="E1" s="13"/>
      <c r="G1" s="11" t="s">
        <v>30</v>
      </c>
      <c r="H1" s="12"/>
      <c r="I1" s="12"/>
      <c r="J1" s="13"/>
      <c r="L1" s="11" t="s">
        <v>33</v>
      </c>
      <c r="M1" s="12"/>
      <c r="N1" s="12"/>
      <c r="O1" s="13"/>
    </row>
    <row r="2" spans="1:15" ht="17" thickBot="1" x14ac:dyDescent="0.25">
      <c r="A2" s="14" t="s">
        <v>0</v>
      </c>
      <c r="B2" s="15" t="s">
        <v>1</v>
      </c>
      <c r="C2" s="15" t="s">
        <v>2</v>
      </c>
      <c r="D2" s="15" t="s">
        <v>3</v>
      </c>
      <c r="E2" s="16" t="s">
        <v>4</v>
      </c>
      <c r="G2" s="14" t="s">
        <v>26</v>
      </c>
      <c r="H2" s="15" t="s">
        <v>27</v>
      </c>
      <c r="I2" s="15" t="s">
        <v>28</v>
      </c>
      <c r="J2" s="16" t="s">
        <v>29</v>
      </c>
      <c r="L2" s="14" t="s">
        <v>26</v>
      </c>
      <c r="M2" s="15" t="s">
        <v>31</v>
      </c>
      <c r="N2" s="15" t="s">
        <v>32</v>
      </c>
      <c r="O2" s="16" t="s">
        <v>34</v>
      </c>
    </row>
    <row r="3" spans="1:15" x14ac:dyDescent="0.2">
      <c r="A3" s="1" cm="1">
        <f t="array" ref="A3:A22">_xlfn.SEQUENCE(20)</f>
        <v>1</v>
      </c>
      <c r="B3" t="s">
        <v>5</v>
      </c>
      <c r="C3" s="2">
        <v>2000</v>
      </c>
      <c r="D3" s="3">
        <v>0</v>
      </c>
      <c r="E3" s="4">
        <v>2000</v>
      </c>
      <c r="G3" s="19">
        <v>0</v>
      </c>
      <c r="H3" s="21">
        <v>300000</v>
      </c>
      <c r="I3" s="21"/>
      <c r="J3" s="21"/>
      <c r="L3" s="1">
        <v>0</v>
      </c>
      <c r="M3" s="3">
        <v>799</v>
      </c>
      <c r="N3">
        <v>0</v>
      </c>
      <c r="O3" s="23">
        <v>0</v>
      </c>
    </row>
    <row r="4" spans="1:15" x14ac:dyDescent="0.2">
      <c r="A4" s="1">
        <v>2</v>
      </c>
      <c r="B4" t="s">
        <v>6</v>
      </c>
      <c r="C4" s="2">
        <v>2000</v>
      </c>
      <c r="D4" s="3">
        <f>E3*1.04-E3</f>
        <v>80</v>
      </c>
      <c r="E4" s="5">
        <f>E3+C4+D4</f>
        <v>4080</v>
      </c>
      <c r="G4" s="19" cm="1">
        <f t="array" ref="G4:G15">_xlfn.SEQUENCE(12)</f>
        <v>1</v>
      </c>
      <c r="H4" s="21">
        <f>H3-J4</f>
        <v>299700</v>
      </c>
      <c r="I4" s="21">
        <f>(H3*0.06)/12</f>
        <v>1500</v>
      </c>
      <c r="J4" s="21">
        <f>ABS(I4-1800)</f>
        <v>300</v>
      </c>
      <c r="L4" s="1" cm="1">
        <f t="array" ref="L4:L27">_xlfn.SEQUENCE(24)</f>
        <v>1</v>
      </c>
      <c r="M4" s="3">
        <f>M3-O4</f>
        <v>768.07697943300002</v>
      </c>
      <c r="N4" s="3">
        <f>M3*0.006354167</f>
        <v>5.076979433</v>
      </c>
      <c r="O4" s="17">
        <f>36-N4</f>
        <v>30.923020567000002</v>
      </c>
    </row>
    <row r="5" spans="1:15" x14ac:dyDescent="0.2">
      <c r="A5" s="1">
        <v>3</v>
      </c>
      <c r="B5" t="s">
        <v>7</v>
      </c>
      <c r="C5" s="2">
        <v>2000</v>
      </c>
      <c r="D5" s="3">
        <f t="shared" ref="D5:D22" si="0">E4*1.04-E4</f>
        <v>163.19999999999982</v>
      </c>
      <c r="E5" s="5">
        <f t="shared" ref="E5:E22" si="1">E4+C5+D5</f>
        <v>6243.2</v>
      </c>
      <c r="G5" s="19">
        <v>2</v>
      </c>
      <c r="H5" s="21">
        <f t="shared" ref="H5:H15" si="2">H4-J5</f>
        <v>299398.5</v>
      </c>
      <c r="I5" s="21">
        <f t="shared" ref="I5:I15" si="3">(H4*0.06)/12</f>
        <v>1498.5</v>
      </c>
      <c r="J5" s="21">
        <f t="shared" ref="J5:J15" si="4">ABS(I5-1800)</f>
        <v>301.5</v>
      </c>
      <c r="L5" s="1">
        <v>2</v>
      </c>
      <c r="M5" s="3">
        <f t="shared" ref="M5:M27" si="5">M4-O5</f>
        <v>736.95746882917285</v>
      </c>
      <c r="N5" s="3">
        <f t="shared" ref="N5:N27" si="6">M4*0.006354167</f>
        <v>4.8804893961728473</v>
      </c>
      <c r="O5" s="17">
        <f t="shared" ref="O5:O27" si="7">36-N5</f>
        <v>31.119510603827152</v>
      </c>
    </row>
    <row r="6" spans="1:15" x14ac:dyDescent="0.2">
      <c r="A6" s="1">
        <v>4</v>
      </c>
      <c r="B6" t="s">
        <v>8</v>
      </c>
      <c r="C6" s="2">
        <v>2000</v>
      </c>
      <c r="D6" s="3">
        <f t="shared" si="0"/>
        <v>249.72800000000007</v>
      </c>
      <c r="E6" s="5">
        <f t="shared" si="1"/>
        <v>8492.9279999999999</v>
      </c>
      <c r="G6" s="19">
        <v>3</v>
      </c>
      <c r="H6" s="21">
        <f t="shared" si="2"/>
        <v>299095.49249999999</v>
      </c>
      <c r="I6" s="21">
        <f t="shared" si="3"/>
        <v>1496.9925000000001</v>
      </c>
      <c r="J6" s="21">
        <f t="shared" si="4"/>
        <v>303.00749999999994</v>
      </c>
      <c r="L6" s="1">
        <v>3</v>
      </c>
      <c r="M6" s="3">
        <f t="shared" si="5"/>
        <v>705.64021965801066</v>
      </c>
      <c r="N6" s="3">
        <f t="shared" si="6"/>
        <v>4.6827508288378592</v>
      </c>
      <c r="O6" s="17">
        <f t="shared" si="7"/>
        <v>31.317249171162139</v>
      </c>
    </row>
    <row r="7" spans="1:15" x14ac:dyDescent="0.2">
      <c r="A7" s="1">
        <v>5</v>
      </c>
      <c r="B7" t="s">
        <v>9</v>
      </c>
      <c r="C7" s="2">
        <v>2000</v>
      </c>
      <c r="D7" s="3">
        <f t="shared" si="0"/>
        <v>339.71712000000116</v>
      </c>
      <c r="E7" s="5">
        <f t="shared" si="1"/>
        <v>10832.645120000001</v>
      </c>
      <c r="G7" s="19">
        <v>4</v>
      </c>
      <c r="H7" s="21">
        <f t="shared" si="2"/>
        <v>298790.96996249998</v>
      </c>
      <c r="I7" s="21">
        <f t="shared" si="3"/>
        <v>1495.4774625</v>
      </c>
      <c r="J7" s="21">
        <f t="shared" si="4"/>
        <v>304.5225375</v>
      </c>
      <c r="L7" s="1">
        <v>4</v>
      </c>
      <c r="M7" s="3">
        <f t="shared" si="5"/>
        <v>674.12397545563431</v>
      </c>
      <c r="N7" s="3">
        <f t="shared" si="6"/>
        <v>4.483755797623683</v>
      </c>
      <c r="O7" s="17">
        <f t="shared" si="7"/>
        <v>31.516244202376317</v>
      </c>
    </row>
    <row r="8" spans="1:15" x14ac:dyDescent="0.2">
      <c r="A8" s="1">
        <v>6</v>
      </c>
      <c r="B8" t="s">
        <v>10</v>
      </c>
      <c r="C8" s="2">
        <v>2000</v>
      </c>
      <c r="D8" s="3">
        <f t="shared" si="0"/>
        <v>433.30580480000026</v>
      </c>
      <c r="E8" s="5">
        <f t="shared" si="1"/>
        <v>13265.950924800001</v>
      </c>
      <c r="G8" s="19">
        <v>5</v>
      </c>
      <c r="H8" s="21">
        <f t="shared" si="2"/>
        <v>298484.92481231247</v>
      </c>
      <c r="I8" s="21">
        <f t="shared" si="3"/>
        <v>1493.9548498124998</v>
      </c>
      <c r="J8" s="21">
        <f t="shared" si="4"/>
        <v>306.04515018750021</v>
      </c>
      <c r="L8" s="1">
        <v>5</v>
      </c>
      <c r="M8" s="3">
        <f t="shared" si="5"/>
        <v>642.40747177438334</v>
      </c>
      <c r="N8" s="3">
        <f t="shared" si="6"/>
        <v>4.2834963187490018</v>
      </c>
      <c r="O8" s="17">
        <f t="shared" si="7"/>
        <v>31.716503681250998</v>
      </c>
    </row>
    <row r="9" spans="1:15" x14ac:dyDescent="0.2">
      <c r="A9" s="1">
        <v>7</v>
      </c>
      <c r="B9" t="s">
        <v>11</v>
      </c>
      <c r="C9" s="2">
        <v>2000</v>
      </c>
      <c r="D9" s="3">
        <f t="shared" si="0"/>
        <v>530.63803699200071</v>
      </c>
      <c r="E9" s="5">
        <f t="shared" si="1"/>
        <v>15796.588961792002</v>
      </c>
      <c r="G9" s="19">
        <v>6</v>
      </c>
      <c r="H9" s="21">
        <f t="shared" si="2"/>
        <v>298177.34943637403</v>
      </c>
      <c r="I9" s="21">
        <f t="shared" si="3"/>
        <v>1492.4246240615623</v>
      </c>
      <c r="J9" s="21">
        <f t="shared" si="4"/>
        <v>307.57537593843767</v>
      </c>
      <c r="L9" s="1">
        <v>6</v>
      </c>
      <c r="M9" s="3">
        <f t="shared" si="5"/>
        <v>610.48943613208553</v>
      </c>
      <c r="N9" s="3">
        <f t="shared" si="6"/>
        <v>4.0819643577022182</v>
      </c>
      <c r="O9" s="17">
        <f t="shared" si="7"/>
        <v>31.918035642297781</v>
      </c>
    </row>
    <row r="10" spans="1:15" x14ac:dyDescent="0.2">
      <c r="A10" s="1">
        <v>8</v>
      </c>
      <c r="B10" t="s">
        <v>12</v>
      </c>
      <c r="C10" s="2">
        <v>2000</v>
      </c>
      <c r="D10" s="3">
        <f t="shared" si="0"/>
        <v>631.86355847168124</v>
      </c>
      <c r="E10" s="5">
        <f t="shared" si="1"/>
        <v>18428.452520263687</v>
      </c>
      <c r="G10" s="19">
        <v>7</v>
      </c>
      <c r="H10" s="21">
        <f t="shared" si="2"/>
        <v>297868.23618355591</v>
      </c>
      <c r="I10" s="21">
        <f t="shared" si="3"/>
        <v>1490.8867471818701</v>
      </c>
      <c r="J10" s="21">
        <f t="shared" si="4"/>
        <v>309.11325281812992</v>
      </c>
      <c r="L10" s="1">
        <v>7</v>
      </c>
      <c r="M10" s="3">
        <f t="shared" si="5"/>
        <v>578.36858796100466</v>
      </c>
      <c r="N10" s="3">
        <f t="shared" si="6"/>
        <v>3.8791518289191056</v>
      </c>
      <c r="O10" s="17">
        <f t="shared" si="7"/>
        <v>32.120848171080894</v>
      </c>
    </row>
    <row r="11" spans="1:15" x14ac:dyDescent="0.2">
      <c r="A11" s="1">
        <v>9</v>
      </c>
      <c r="B11" t="s">
        <v>13</v>
      </c>
      <c r="C11" s="2">
        <v>2000</v>
      </c>
      <c r="D11" s="3">
        <f t="shared" si="0"/>
        <v>737.13810081054908</v>
      </c>
      <c r="E11" s="5">
        <f t="shared" si="1"/>
        <v>21165.590621074236</v>
      </c>
      <c r="G11" s="19">
        <v>8</v>
      </c>
      <c r="H11" s="21">
        <f t="shared" si="2"/>
        <v>297557.57736447372</v>
      </c>
      <c r="I11" s="21">
        <f t="shared" si="3"/>
        <v>1489.3411809177796</v>
      </c>
      <c r="J11" s="21">
        <f t="shared" si="4"/>
        <v>310.65881908222036</v>
      </c>
      <c r="L11" s="1">
        <v>8</v>
      </c>
      <c r="M11" s="3">
        <f t="shared" si="5"/>
        <v>546.04363855646307</v>
      </c>
      <c r="N11" s="3">
        <f t="shared" si="6"/>
        <v>3.6750505954584129</v>
      </c>
      <c r="O11" s="17">
        <f t="shared" si="7"/>
        <v>32.324949404541584</v>
      </c>
    </row>
    <row r="12" spans="1:15" x14ac:dyDescent="0.2">
      <c r="A12" s="1">
        <v>10</v>
      </c>
      <c r="B12" t="s">
        <v>14</v>
      </c>
      <c r="C12" s="2">
        <v>2000</v>
      </c>
      <c r="D12" s="3">
        <f t="shared" si="0"/>
        <v>846.62362484297046</v>
      </c>
      <c r="E12" s="5">
        <f t="shared" si="1"/>
        <v>24012.214245917206</v>
      </c>
      <c r="G12" s="19">
        <v>9</v>
      </c>
      <c r="H12" s="21">
        <f t="shared" si="2"/>
        <v>297245.36525129608</v>
      </c>
      <c r="I12" s="21">
        <f t="shared" si="3"/>
        <v>1487.7878868223686</v>
      </c>
      <c r="J12" s="21">
        <f t="shared" si="4"/>
        <v>312.21211317763141</v>
      </c>
      <c r="L12" s="1">
        <v>9</v>
      </c>
      <c r="M12" s="3">
        <f t="shared" si="5"/>
        <v>513.51329102513841</v>
      </c>
      <c r="N12" s="3">
        <f t="shared" si="6"/>
        <v>3.4696524686754051</v>
      </c>
      <c r="O12" s="17">
        <f t="shared" si="7"/>
        <v>32.530347531324594</v>
      </c>
    </row>
    <row r="13" spans="1:15" x14ac:dyDescent="0.2">
      <c r="A13" s="1">
        <v>11</v>
      </c>
      <c r="B13" t="s">
        <v>15</v>
      </c>
      <c r="C13" s="2">
        <v>2000</v>
      </c>
      <c r="D13" s="3">
        <f t="shared" si="0"/>
        <v>960.48856983668884</v>
      </c>
      <c r="E13" s="5">
        <f t="shared" si="1"/>
        <v>26972.702815753895</v>
      </c>
      <c r="G13" s="19">
        <v>10</v>
      </c>
      <c r="H13" s="21">
        <f t="shared" si="2"/>
        <v>296931.59207755257</v>
      </c>
      <c r="I13" s="21">
        <f t="shared" si="3"/>
        <v>1486.2268262564803</v>
      </c>
      <c r="J13" s="21">
        <f t="shared" si="4"/>
        <v>313.77317374351969</v>
      </c>
      <c r="L13" s="1">
        <v>10</v>
      </c>
      <c r="M13" s="3">
        <f t="shared" si="5"/>
        <v>480.77624023303173</v>
      </c>
      <c r="N13" s="3">
        <f t="shared" si="6"/>
        <v>3.2629492078933309</v>
      </c>
      <c r="O13" s="17">
        <f t="shared" si="7"/>
        <v>32.737050792106672</v>
      </c>
    </row>
    <row r="14" spans="1:15" x14ac:dyDescent="0.2">
      <c r="A14" s="1">
        <v>12</v>
      </c>
      <c r="B14" t="s">
        <v>16</v>
      </c>
      <c r="C14" s="2">
        <v>2000</v>
      </c>
      <c r="D14" s="3">
        <f t="shared" si="0"/>
        <v>1078.9081126301571</v>
      </c>
      <c r="E14" s="5">
        <f t="shared" si="1"/>
        <v>30051.610928384052</v>
      </c>
      <c r="G14" s="19">
        <v>11</v>
      </c>
      <c r="H14" s="21">
        <f t="shared" si="2"/>
        <v>296616.25003794034</v>
      </c>
      <c r="I14" s="21">
        <f t="shared" si="3"/>
        <v>1484.6579603877628</v>
      </c>
      <c r="J14" s="21">
        <f t="shared" si="4"/>
        <v>315.34203961223716</v>
      </c>
      <c r="L14" s="1">
        <v>11</v>
      </c>
      <c r="M14" s="3">
        <f t="shared" si="5"/>
        <v>447.83117275310451</v>
      </c>
      <c r="N14" s="3">
        <f t="shared" si="6"/>
        <v>3.0549325200728026</v>
      </c>
      <c r="O14" s="17">
        <f t="shared" si="7"/>
        <v>32.945067479927197</v>
      </c>
    </row>
    <row r="15" spans="1:15" x14ac:dyDescent="0.2">
      <c r="A15" s="1">
        <v>13</v>
      </c>
      <c r="B15" t="s">
        <v>17</v>
      </c>
      <c r="C15" s="2">
        <v>2000</v>
      </c>
      <c r="D15" s="3">
        <f t="shared" si="0"/>
        <v>1202.0644371353628</v>
      </c>
      <c r="E15" s="5">
        <f t="shared" si="1"/>
        <v>33253.675365519419</v>
      </c>
      <c r="G15" s="20">
        <v>12</v>
      </c>
      <c r="H15" s="22">
        <f t="shared" si="2"/>
        <v>296299.33128813002</v>
      </c>
      <c r="I15" s="22">
        <f t="shared" si="3"/>
        <v>1483.0812501897017</v>
      </c>
      <c r="J15" s="22">
        <f t="shared" si="4"/>
        <v>316.91874981029832</v>
      </c>
      <c r="L15" s="1">
        <v>12</v>
      </c>
      <c r="M15" s="3">
        <f t="shared" si="5"/>
        <v>414.67676681258359</v>
      </c>
      <c r="N15" s="3">
        <f t="shared" si="6"/>
        <v>2.8455940594790756</v>
      </c>
      <c r="O15" s="17">
        <f t="shared" si="7"/>
        <v>33.154405940520924</v>
      </c>
    </row>
    <row r="16" spans="1:15" x14ac:dyDescent="0.2">
      <c r="A16" s="1">
        <v>14</v>
      </c>
      <c r="B16" t="s">
        <v>18</v>
      </c>
      <c r="C16" s="2">
        <v>2000</v>
      </c>
      <c r="D16" s="3">
        <f t="shared" si="0"/>
        <v>1330.1470146207794</v>
      </c>
      <c r="E16" s="5">
        <f t="shared" si="1"/>
        <v>36583.822380140198</v>
      </c>
      <c r="L16" s="1">
        <v>13</v>
      </c>
      <c r="M16" s="3">
        <f t="shared" si="5"/>
        <v>381.31169223993084</v>
      </c>
      <c r="N16" s="3">
        <f t="shared" si="6"/>
        <v>2.634925427347214</v>
      </c>
      <c r="O16" s="17">
        <f t="shared" si="7"/>
        <v>33.365074572652787</v>
      </c>
    </row>
    <row r="17" spans="1:15" x14ac:dyDescent="0.2">
      <c r="A17" s="1">
        <v>15</v>
      </c>
      <c r="B17" t="s">
        <v>19</v>
      </c>
      <c r="C17" s="2">
        <v>2000</v>
      </c>
      <c r="D17" s="3">
        <f t="shared" si="0"/>
        <v>1463.3528952056076</v>
      </c>
      <c r="E17" s="5">
        <f t="shared" si="1"/>
        <v>40047.175275345806</v>
      </c>
      <c r="L17" s="1">
        <v>14</v>
      </c>
      <c r="M17" s="3">
        <f t="shared" si="5"/>
        <v>347.73461041147596</v>
      </c>
      <c r="N17" s="3">
        <f t="shared" si="6"/>
        <v>2.4229181715451245</v>
      </c>
      <c r="O17" s="17">
        <f t="shared" si="7"/>
        <v>33.577081828454872</v>
      </c>
    </row>
    <row r="18" spans="1:15" x14ac:dyDescent="0.2">
      <c r="A18" s="1">
        <v>16</v>
      </c>
      <c r="B18" t="s">
        <v>20</v>
      </c>
      <c r="C18" s="2">
        <v>2000</v>
      </c>
      <c r="D18" s="3">
        <f t="shared" si="0"/>
        <v>1601.8870110138305</v>
      </c>
      <c r="E18" s="5">
        <f t="shared" si="1"/>
        <v>43649.062286359636</v>
      </c>
      <c r="L18" s="1">
        <v>15</v>
      </c>
      <c r="M18" s="3">
        <f t="shared" si="5"/>
        <v>313.94417419771042</v>
      </c>
      <c r="N18" s="3">
        <f t="shared" si="6"/>
        <v>2.2095637862344568</v>
      </c>
      <c r="O18" s="17">
        <f t="shared" si="7"/>
        <v>33.790436213765545</v>
      </c>
    </row>
    <row r="19" spans="1:15" x14ac:dyDescent="0.2">
      <c r="A19" s="1">
        <v>17</v>
      </c>
      <c r="B19" t="s">
        <v>21</v>
      </c>
      <c r="C19" s="2">
        <v>2000</v>
      </c>
      <c r="D19" s="3">
        <f t="shared" si="0"/>
        <v>1745.9624914543892</v>
      </c>
      <c r="E19" s="5">
        <f t="shared" si="1"/>
        <v>47395.024777814026</v>
      </c>
      <c r="L19" s="1">
        <v>16</v>
      </c>
      <c r="M19" s="3">
        <f t="shared" si="5"/>
        <v>279.93902790923977</v>
      </c>
      <c r="N19" s="3">
        <f t="shared" si="6"/>
        <v>1.994853711529343</v>
      </c>
      <c r="O19" s="17">
        <f t="shared" si="7"/>
        <v>34.005146288470655</v>
      </c>
    </row>
    <row r="20" spans="1:15" x14ac:dyDescent="0.2">
      <c r="A20" s="1">
        <v>18</v>
      </c>
      <c r="B20" t="s">
        <v>22</v>
      </c>
      <c r="C20" s="2">
        <v>2000</v>
      </c>
      <c r="D20" s="3">
        <f t="shared" si="0"/>
        <v>1895.8009911125628</v>
      </c>
      <c r="E20" s="5">
        <f t="shared" si="1"/>
        <v>51290.825768926588</v>
      </c>
      <c r="L20" s="1">
        <v>17</v>
      </c>
      <c r="M20" s="3">
        <f t="shared" si="5"/>
        <v>245.71780724239272</v>
      </c>
      <c r="N20" s="3">
        <f t="shared" si="6"/>
        <v>1.7787793331529704</v>
      </c>
      <c r="O20" s="17">
        <f t="shared" si="7"/>
        <v>34.221220666847032</v>
      </c>
    </row>
    <row r="21" spans="1:15" x14ac:dyDescent="0.2">
      <c r="A21" s="1">
        <v>19</v>
      </c>
      <c r="B21" t="s">
        <v>23</v>
      </c>
      <c r="C21" s="2">
        <v>2000</v>
      </c>
      <c r="D21" s="3">
        <f t="shared" si="0"/>
        <v>2051.6330307570679</v>
      </c>
      <c r="E21" s="5">
        <f t="shared" si="1"/>
        <v>55342.458799683656</v>
      </c>
      <c r="L21" s="1">
        <v>18</v>
      </c>
      <c r="M21" s="3">
        <f t="shared" si="5"/>
        <v>211.27913922448471</v>
      </c>
      <c r="N21" s="3">
        <f t="shared" si="6"/>
        <v>1.5613319820919729</v>
      </c>
      <c r="O21" s="17">
        <f t="shared" si="7"/>
        <v>34.438668017908029</v>
      </c>
    </row>
    <row r="22" spans="1:15" x14ac:dyDescent="0.2">
      <c r="A22" s="6">
        <v>20</v>
      </c>
      <c r="B22" s="7" t="s">
        <v>24</v>
      </c>
      <c r="C22" s="8">
        <v>2000</v>
      </c>
      <c r="D22" s="9">
        <f t="shared" si="0"/>
        <v>2213.6983519873465</v>
      </c>
      <c r="E22" s="10">
        <f t="shared" si="1"/>
        <v>59556.157151671003</v>
      </c>
      <c r="L22" s="1">
        <v>19</v>
      </c>
      <c r="M22" s="3">
        <f t="shared" si="5"/>
        <v>176.62164215873332</v>
      </c>
      <c r="N22" s="3">
        <f t="shared" si="6"/>
        <v>1.3425029342486263</v>
      </c>
      <c r="O22" s="17">
        <f t="shared" si="7"/>
        <v>34.657497065751372</v>
      </c>
    </row>
    <row r="23" spans="1:15" x14ac:dyDescent="0.2">
      <c r="L23" s="1">
        <v>20</v>
      </c>
      <c r="M23" s="3">
        <f t="shared" si="5"/>
        <v>141.74392556882415</v>
      </c>
      <c r="N23" s="3">
        <f t="shared" si="6"/>
        <v>1.1222834100908321</v>
      </c>
      <c r="O23" s="17">
        <f t="shared" si="7"/>
        <v>34.87771658990917</v>
      </c>
    </row>
    <row r="24" spans="1:15" x14ac:dyDescent="0.2">
      <c r="L24" s="1">
        <v>21</v>
      </c>
      <c r="M24" s="3">
        <f t="shared" si="5"/>
        <v>106.64459014312403</v>
      </c>
      <c r="N24" s="3">
        <f t="shared" si="6"/>
        <v>0.90066457429987867</v>
      </c>
      <c r="O24" s="17">
        <f t="shared" si="7"/>
        <v>35.099335425700119</v>
      </c>
    </row>
    <row r="25" spans="1:15" x14ac:dyDescent="0.2">
      <c r="L25" s="1">
        <v>22</v>
      </c>
      <c r="M25" s="3">
        <f t="shared" si="5"/>
        <v>71.322227678540003</v>
      </c>
      <c r="N25" s="3">
        <f t="shared" si="6"/>
        <v>0.67763753541596405</v>
      </c>
      <c r="O25" s="17">
        <f t="shared" si="7"/>
        <v>35.322362464584039</v>
      </c>
    </row>
    <row r="26" spans="1:15" x14ac:dyDescent="0.2">
      <c r="L26" s="1">
        <v>23</v>
      </c>
      <c r="M26" s="3">
        <f t="shared" si="5"/>
        <v>35.775421024021469</v>
      </c>
      <c r="N26" s="3">
        <f t="shared" si="6"/>
        <v>0.4531933454814655</v>
      </c>
      <c r="O26" s="17">
        <f t="shared" si="7"/>
        <v>35.546806654518534</v>
      </c>
    </row>
    <row r="27" spans="1:15" x14ac:dyDescent="0.2">
      <c r="L27" s="6">
        <v>24</v>
      </c>
      <c r="M27" s="9">
        <f t="shared" si="5"/>
        <v>2.7440237034142001E-3</v>
      </c>
      <c r="N27" s="9">
        <f t="shared" si="6"/>
        <v>0.22732299968194342</v>
      </c>
      <c r="O27" s="18">
        <f t="shared" si="7"/>
        <v>35.772677000318055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Ivanov</dc:creator>
  <cp:lastModifiedBy>David Ivanov</cp:lastModifiedBy>
  <dcterms:created xsi:type="dcterms:W3CDTF">2026-04-16T16:35:23Z</dcterms:created>
  <dcterms:modified xsi:type="dcterms:W3CDTF">2026-04-17T09:06:09Z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2026-04-16T17:15:32Z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8dd41cb7-450f-45b6-888f-f895b23695af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50, 3, 0, 1</vt:lpwstr>
  </property>
</Properties>
</file>